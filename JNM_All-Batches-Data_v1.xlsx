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980" activeTab="1"/>
  </bookViews>
  <sheets>
    <sheet name="All Batches" sheetId="1" r:id="rId1"/>
    <sheet name="Batch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<sst xmlns="http://schemas.openxmlformats.org/spreadsheetml/2006/main" count="505" uniqueCount="98">
  <si>
    <t>Batch</t>
  </si>
  <si>
    <t>Equipment</t>
  </si>
  <si>
    <t>Scale (L)</t>
  </si>
  <si>
    <t>Time (h)</t>
  </si>
  <si>
    <t>OD600</t>
  </si>
  <si>
    <t>WCW (mg/3mL)</t>
  </si>
  <si>
    <t>pO2 (%)</t>
  </si>
  <si>
    <t>Feed Rate</t>
  </si>
  <si>
    <t>Feed Unit</t>
  </si>
  <si>
    <t>Comments</t>
  </si>
  <si>
    <t>B01</t>
  </si>
  <si>
    <t>KLF2000</t>
  </si>
  <si>
    <t>mL/L/h</t>
  </si>
  <si>
    <t>Inoculation; KLF2000, Hitachi spectrophotometer; 1.5L batch vol; 30C, pH 5.5, 600 RPM, 1 vvm</t>
  </si>
  <si>
    <t/>
  </si>
  <si>
    <t>Fed-batch phase started at 5 mL/L/h</t>
  </si>
  <si>
    <t>Feed increased to 8 mL/L/h</t>
  </si>
  <si>
    <t>Feed increased to 10 mL/L/h</t>
  </si>
  <si>
    <t>Feed increased to 12 mL/L/h</t>
  </si>
  <si>
    <t>Feed increased to 15 mL/L/h; OD decline observed (cell death onset)</t>
  </si>
  <si>
    <t>BATCH TERMINATED at 82h (planned 96h); white cells and cell death observed during centrifugation</t>
  </si>
  <si>
    <t>B02</t>
  </si>
  <si>
    <t>Inoculation; KLF2000, Hitachi spectrophotometer; 1.5L; same protocol as B01</t>
  </si>
  <si>
    <t>Growth stall begins: OD drops from 123 to 112 (possible diauxic shift)</t>
  </si>
  <si>
    <t>WCW plateau ~307-309 mg/3mL; OD fluctuating (54-72h stall zone)</t>
  </si>
  <si>
    <t>End of growth stall zone</t>
  </si>
  <si>
    <t>pO2 drops to 20% — oxygen limitation; feed increased to 15 mL/L/h</t>
  </si>
  <si>
    <t>Growth resumes after stall</t>
  </si>
  <si>
    <t>Batch completed at 96h as planned; white cells and partial cell death observed in later stages</t>
  </si>
  <si>
    <t>B03</t>
  </si>
  <si>
    <t>Inoculation; KLF2000, Hitachi spectrophotometer; 1.5L; same protocol as B01/B02</t>
  </si>
  <si>
    <t>pO2 declining steadily — approaching O2 limitation</t>
  </si>
  <si>
    <t>Feed increased to 15 mL/L/h; pO2 ~33%</t>
  </si>
  <si>
    <t>BATCH TERMINATED at 84h; pigment loss (white cells) and cell death observed during centrifugation</t>
  </si>
  <si>
    <t>B04</t>
  </si>
  <si>
    <t>Sartorius</t>
  </si>
  <si>
    <t>mL/h</t>
  </si>
  <si>
    <t>Inoculation; Sartorius BIOSTAT B, LABMAN spectrophotometer; 2L scale; 200mL inoculum</t>
  </si>
  <si>
    <t>Amino acid + YNB addition (10 mL each at 12h); Tocopherol 50mL at 24h</t>
  </si>
  <si>
    <t>Fed-batch started (Segment 1: 13.5 mL/h from 16h)</t>
  </si>
  <si>
    <t>Amino acid + YNB 20mL each; Tocopherol 50mL; IPM added</t>
  </si>
  <si>
    <t>Feed rate varies by segment (see feeding strategy); Amino acid + YNB additions continue</t>
  </si>
  <si>
    <t>Feed reduced to 5.5 mL/h (Segment 5-6)</t>
  </si>
  <si>
    <t>Glucose Pulse A at 64.5h (50mL bolus, 50% glucose); Amino acid + YNB additions at 39.5h, 43h, 48.5h, 53h</t>
  </si>
  <si>
    <t>Feed 10.5 mL/h (Segment 7); Glucose Pulse B at 67h (50mL bolus, 50% glucose)</t>
  </si>
  <si>
    <t>OD decline from 308; white cells observed</t>
  </si>
  <si>
    <t>BATCH TERMINATED at 74h; white cells and cell death; total feed=1580.5mL; supplements=520mL</t>
  </si>
  <si>
    <t>B05</t>
  </si>
  <si>
    <t>Inoculation; Sartorius BIOSTAT B, LABMAN spectrophotometer; 1L scale</t>
  </si>
  <si>
    <t>Fed-batch started (Segment 1: 4.5 mL/h from 15h)</t>
  </si>
  <si>
    <t>Tocopherol 50mL added; IPM 200mL added directly to reactor</t>
  </si>
  <si>
    <t>Feed increased to 13.5 mL/h (Segment 3)</t>
  </si>
  <si>
    <t>Tocopherol 50mL added at 38.5h; Feed at 18 mL/h (Segment 4, long segment 31-91h)</t>
  </si>
  <si>
    <t>OD decline from 280 to 240; possible cell stress; feed increased to 22.5 mL/h</t>
  </si>
  <si>
    <t>Tocopherol 50mL added at 84.5h</t>
  </si>
  <si>
    <t>Feed ramping: 36 mL/h</t>
  </si>
  <si>
    <t>Tocopherol 50mL added at 108.5h; OD peak ~304</t>
  </si>
  <si>
    <t>Slight OD/WCW decline begins; late-phase pigment loss</t>
  </si>
  <si>
    <t>Batch ended at 120h; pO2 spike to 95.1%; total feed=2250mL; tocopherol=200mL; IPM=200mL</t>
  </si>
  <si>
    <t>B06</t>
  </si>
  <si>
    <t>Inoculation; Sartorius BIOSTAT B, LABMAN spectrophotometer; 1L scale; SRL glucose source</t>
  </si>
  <si>
    <t>Fed-batch started (Segment 1: 4.5 mL/h from 14h); pO2 NOT reported for this batch</t>
  </si>
  <si>
    <t>Feed increased to 13.5 mL/h</t>
  </si>
  <si>
    <t>Feed at 18 mL/h (Segment 4, long segment 30-75h)</t>
  </si>
  <si>
    <t>Tocopherol 50mL added at 48h</t>
  </si>
  <si>
    <t>Tocopherol 50mL added at 72h</t>
  </si>
  <si>
    <t>Feed ramping begins: 22.5 mL/h</t>
  </si>
  <si>
    <t>Glucose pulse 90mL added (direct); also continuous feed = 2410mL total</t>
  </si>
  <si>
    <t>Tocopherol 50mL added at 96h; feed at 31.5 mL/h</t>
  </si>
  <si>
    <t>Slight OD/WCW decline begins (~114h); culture stability largely maintained</t>
  </si>
  <si>
    <t>Batch ended at 120h; total feed=2500mL (2410 continuous + 90 pulse); tocopherol=200mL; IPM=200mL</t>
  </si>
  <si>
    <t>Spectrophotometer</t>
  </si>
  <si>
    <t>Duration (h)</t>
  </si>
  <si>
    <t>Planned Duration (h)</t>
  </si>
  <si>
    <t>Final OD</t>
  </si>
  <si>
    <t>Final WCW</t>
  </si>
  <si>
    <t>Total Feed Vol (mL)</t>
  </si>
  <si>
    <t>Supplements</t>
  </si>
  <si>
    <t>Closure Reason</t>
  </si>
  <si>
    <t>Hitachi 1900U</t>
  </si>
  <si>
    <t>~780 (est.)</t>
  </si>
  <si>
    <t>None</t>
  </si>
  <si>
    <t>Cell death + white cells at 82h</t>
  </si>
  <si>
    <t>~900 (est.)</t>
  </si>
  <si>
    <t>Completed; white cells + partial cell death in late stages</t>
  </si>
  <si>
    <t>~810 (est.)</t>
  </si>
  <si>
    <t>Pigment loss (white cells) + cell death at 84h</t>
  </si>
  <si>
    <t>Sartorius BIOSTAT B</t>
  </si>
  <si>
    <t>LABMAN (LMSP-V325)</t>
  </si>
  <si>
    <t>1580.5</t>
  </si>
  <si>
    <t>Amino acid+YNB (520mL), Tocopherol (9x50mL)</t>
  </si>
  <si>
    <t>White cells + cell death at 74h; glucose pulses at 64.5h &amp; 67h</t>
  </si>
  <si>
    <t>2250</t>
  </si>
  <si>
    <t>Tocopherol (4x50mL=200mL), IPM (200mL at 24h)</t>
  </si>
  <si>
    <t>Late-phase decline after ~108h; pigment loss later than earlier batches</t>
  </si>
  <si>
    <t>2500</t>
  </si>
  <si>
    <t>Tocopherol (4x50mL=200mL), IPM (200mL at 24h), glucose pulse 90mL</t>
  </si>
  <si>
    <t>Slight decline after ~114h; culture stability largely maintained; no pO2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</si>
</sst>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E1D5E7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"/>
  <sheetViews>
    <sheetView workbookViewId="0">
      <pane ySplit="1" topLeftCell="A26" activePane="bottomLeft" state="frozen"/>
      <selection/>
      <selection pane="bottomLeft" activeCell="I2" sqref="I2"/>
    </sheetView>
  </sheetViews>
  <sheetFormatPr defaultColWidth="9" defaultRowHeight="15"/>
  <cols>
    <col min="1" max="1" width="7" customWidth="1"/>
    <col min="2" max="2" width="12" customWidth="1"/>
    <col min="3" max="5" width="9" customWidth="1"/>
    <col min="6" max="6" width="14" customWidth="1"/>
    <col min="7" max="7" width="9" customWidth="1"/>
    <col min="8" max="9" width="10" customWidth="1"/>
    <col min="10" max="10" width="85" customWidth="1"/>
  </cols>
  <sheetData>
    <row r="1" ht="25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4" t="s">
        <v>10</v>
      </c>
      <c r="B2" s="14" t="s">
        <v>11</v>
      </c>
      <c r="C2" s="14">
        <v>1.5</v>
      </c>
      <c r="D2" s="14">
        <v>0</v>
      </c>
      <c r="E2" s="14">
        <v>0.8</v>
      </c>
      <c r="F2" s="14">
        <v>13.1</v>
      </c>
      <c r="G2" s="14">
        <v>100</v>
      </c>
      <c r="H2" s="14">
        <v>0</v>
      </c>
      <c r="I2" s="14" t="s">
        <v>12</v>
      </c>
      <c r="J2" s="3" t="s">
        <v>13</v>
      </c>
    </row>
    <row r="3" spans="1:10">
      <c r="A3" s="14" t="s">
        <v>10</v>
      </c>
      <c r="B3" s="14" t="s">
        <v>11</v>
      </c>
      <c r="C3" s="14">
        <v>1.5</v>
      </c>
      <c r="D3" s="14">
        <v>6</v>
      </c>
      <c r="E3" s="14">
        <v>3.2</v>
      </c>
      <c r="F3" s="14">
        <v>33.9</v>
      </c>
      <c r="G3" s="14">
        <v>85</v>
      </c>
      <c r="H3" s="14">
        <v>0</v>
      </c>
      <c r="I3" s="14" t="s">
        <v>12</v>
      </c>
      <c r="J3" s="3" t="s">
        <v>14</v>
      </c>
    </row>
    <row r="4" spans="1:10">
      <c r="A4" s="14" t="s">
        <v>10</v>
      </c>
      <c r="B4" s="14" t="s">
        <v>11</v>
      </c>
      <c r="C4" s="14">
        <v>1.5</v>
      </c>
      <c r="D4" s="14">
        <v>12</v>
      </c>
      <c r="E4" s="14">
        <v>10.8</v>
      </c>
      <c r="F4" s="14">
        <v>59.3</v>
      </c>
      <c r="G4" s="14">
        <v>65</v>
      </c>
      <c r="H4" s="14">
        <v>5</v>
      </c>
      <c r="I4" s="14" t="s">
        <v>12</v>
      </c>
      <c r="J4" s="3" t="s">
        <v>15</v>
      </c>
    </row>
    <row r="5" spans="1:10">
      <c r="A5" s="14" t="s">
        <v>10</v>
      </c>
      <c r="B5" s="14" t="s">
        <v>11</v>
      </c>
      <c r="C5" s="14">
        <v>1.5</v>
      </c>
      <c r="D5" s="14">
        <v>18</v>
      </c>
      <c r="E5" s="14">
        <v>21.1</v>
      </c>
      <c r="F5" s="14">
        <v>82.9</v>
      </c>
      <c r="G5" s="14">
        <v>68.13</v>
      </c>
      <c r="H5" s="14">
        <v>5</v>
      </c>
      <c r="I5" s="14" t="s">
        <v>12</v>
      </c>
      <c r="J5" s="3" t="s">
        <v>14</v>
      </c>
    </row>
    <row r="6" spans="1:10">
      <c r="A6" s="14" t="s">
        <v>10</v>
      </c>
      <c r="B6" s="14" t="s">
        <v>11</v>
      </c>
      <c r="C6" s="14">
        <v>1.5</v>
      </c>
      <c r="D6" s="14">
        <v>24</v>
      </c>
      <c r="E6" s="14">
        <v>42.3</v>
      </c>
      <c r="F6" s="14">
        <v>133.2</v>
      </c>
      <c r="G6" s="14">
        <v>81.32</v>
      </c>
      <c r="H6" s="14">
        <v>8</v>
      </c>
      <c r="I6" s="14" t="s">
        <v>12</v>
      </c>
      <c r="J6" s="3" t="s">
        <v>16</v>
      </c>
    </row>
    <row r="7" spans="1:10">
      <c r="A7" s="14" t="s">
        <v>10</v>
      </c>
      <c r="B7" s="14" t="s">
        <v>11</v>
      </c>
      <c r="C7" s="14">
        <v>1.5</v>
      </c>
      <c r="D7" s="14">
        <v>30</v>
      </c>
      <c r="E7" s="14">
        <v>65</v>
      </c>
      <c r="F7" s="14">
        <v>190.3</v>
      </c>
      <c r="G7" s="14">
        <v>63.19</v>
      </c>
      <c r="H7" s="14">
        <v>8</v>
      </c>
      <c r="I7" s="14" t="s">
        <v>12</v>
      </c>
      <c r="J7" s="3" t="s">
        <v>14</v>
      </c>
    </row>
    <row r="8" spans="1:10">
      <c r="A8" s="14" t="s">
        <v>10</v>
      </c>
      <c r="B8" s="14" t="s">
        <v>11</v>
      </c>
      <c r="C8" s="14">
        <v>1.5</v>
      </c>
      <c r="D8" s="14">
        <v>36</v>
      </c>
      <c r="E8" s="14">
        <v>74</v>
      </c>
      <c r="F8" s="14">
        <v>265.8</v>
      </c>
      <c r="G8" s="14">
        <v>65</v>
      </c>
      <c r="H8" s="14">
        <v>8</v>
      </c>
      <c r="I8" s="14" t="s">
        <v>12</v>
      </c>
      <c r="J8" s="3" t="s">
        <v>14</v>
      </c>
    </row>
    <row r="9" spans="1:10">
      <c r="A9" s="14" t="s">
        <v>10</v>
      </c>
      <c r="B9" s="14" t="s">
        <v>11</v>
      </c>
      <c r="C9" s="14">
        <v>1.5</v>
      </c>
      <c r="D9" s="14">
        <v>42</v>
      </c>
      <c r="E9" s="14">
        <v>89</v>
      </c>
      <c r="F9" s="14">
        <v>310.4</v>
      </c>
      <c r="G9" s="14">
        <v>76.92</v>
      </c>
      <c r="H9" s="14">
        <v>10</v>
      </c>
      <c r="I9" s="14" t="s">
        <v>12</v>
      </c>
      <c r="J9" s="3" t="s">
        <v>17</v>
      </c>
    </row>
    <row r="10" spans="1:10">
      <c r="A10" s="14" t="s">
        <v>10</v>
      </c>
      <c r="B10" s="14" t="s">
        <v>11</v>
      </c>
      <c r="C10" s="14">
        <v>1.5</v>
      </c>
      <c r="D10" s="14">
        <v>48</v>
      </c>
      <c r="E10" s="14">
        <v>123</v>
      </c>
      <c r="F10" s="14">
        <v>353.9</v>
      </c>
      <c r="G10" s="14">
        <v>62.64</v>
      </c>
      <c r="H10" s="14">
        <v>10</v>
      </c>
      <c r="I10" s="14" t="s">
        <v>12</v>
      </c>
      <c r="J10" s="3" t="s">
        <v>14</v>
      </c>
    </row>
    <row r="11" spans="1:10">
      <c r="A11" s="14" t="s">
        <v>10</v>
      </c>
      <c r="B11" s="14" t="s">
        <v>11</v>
      </c>
      <c r="C11" s="14">
        <v>1.5</v>
      </c>
      <c r="D11" s="14">
        <v>54</v>
      </c>
      <c r="E11" s="14">
        <v>135</v>
      </c>
      <c r="F11" s="14">
        <v>404.7</v>
      </c>
      <c r="G11" s="14">
        <v>58.79</v>
      </c>
      <c r="H11" s="14">
        <v>10</v>
      </c>
      <c r="I11" s="14" t="s">
        <v>12</v>
      </c>
      <c r="J11" s="3" t="s">
        <v>14</v>
      </c>
    </row>
    <row r="12" spans="1:10">
      <c r="A12" s="14" t="s">
        <v>10</v>
      </c>
      <c r="B12" s="14" t="s">
        <v>11</v>
      </c>
      <c r="C12" s="14">
        <v>1.5</v>
      </c>
      <c r="D12" s="14">
        <v>60</v>
      </c>
      <c r="E12" s="14">
        <v>151</v>
      </c>
      <c r="F12" s="14">
        <v>422.3</v>
      </c>
      <c r="G12" s="14">
        <v>65</v>
      </c>
      <c r="H12" s="14">
        <v>12</v>
      </c>
      <c r="I12" s="14" t="s">
        <v>12</v>
      </c>
      <c r="J12" s="3" t="s">
        <v>18</v>
      </c>
    </row>
    <row r="13" spans="1:10">
      <c r="A13" s="14" t="s">
        <v>10</v>
      </c>
      <c r="B13" s="14" t="s">
        <v>11</v>
      </c>
      <c r="C13" s="14">
        <v>1.5</v>
      </c>
      <c r="D13" s="14">
        <v>66</v>
      </c>
      <c r="E13" s="14">
        <v>185</v>
      </c>
      <c r="F13" s="14">
        <v>479</v>
      </c>
      <c r="G13" s="14">
        <v>65</v>
      </c>
      <c r="H13" s="14">
        <v>12</v>
      </c>
      <c r="I13" s="14" t="s">
        <v>12</v>
      </c>
      <c r="J13" s="3" t="s">
        <v>14</v>
      </c>
    </row>
    <row r="14" spans="1:10">
      <c r="A14" s="14" t="s">
        <v>10</v>
      </c>
      <c r="B14" s="14" t="s">
        <v>11</v>
      </c>
      <c r="C14" s="14">
        <v>1.5</v>
      </c>
      <c r="D14" s="14">
        <v>72</v>
      </c>
      <c r="E14" s="14">
        <v>207</v>
      </c>
      <c r="F14" s="14">
        <v>583</v>
      </c>
      <c r="G14" s="14">
        <v>65</v>
      </c>
      <c r="H14" s="14">
        <v>12</v>
      </c>
      <c r="I14" s="14" t="s">
        <v>12</v>
      </c>
      <c r="J14" s="3" t="s">
        <v>14</v>
      </c>
    </row>
    <row r="15" spans="1:10">
      <c r="A15" s="14" t="s">
        <v>10</v>
      </c>
      <c r="B15" s="14" t="s">
        <v>11</v>
      </c>
      <c r="C15" s="14">
        <v>1.5</v>
      </c>
      <c r="D15" s="14">
        <v>78</v>
      </c>
      <c r="E15" s="14">
        <v>199</v>
      </c>
      <c r="F15" s="14">
        <v>566.3</v>
      </c>
      <c r="G15" s="14">
        <v>89.56</v>
      </c>
      <c r="H15" s="14">
        <v>15</v>
      </c>
      <c r="I15" s="14" t="s">
        <v>12</v>
      </c>
      <c r="J15" s="3" t="s">
        <v>19</v>
      </c>
    </row>
    <row r="16" spans="1:10">
      <c r="A16" s="14" t="s">
        <v>10</v>
      </c>
      <c r="B16" s="14" t="s">
        <v>11</v>
      </c>
      <c r="C16" s="14">
        <v>1.5</v>
      </c>
      <c r="D16" s="14">
        <v>82</v>
      </c>
      <c r="E16" s="14">
        <v>201</v>
      </c>
      <c r="F16" s="14">
        <v>585</v>
      </c>
      <c r="G16" s="14">
        <v>70.33</v>
      </c>
      <c r="H16" s="14">
        <v>15</v>
      </c>
      <c r="I16" s="14" t="s">
        <v>12</v>
      </c>
      <c r="J16" s="3" t="s">
        <v>20</v>
      </c>
    </row>
    <row r="17" spans="1:10">
      <c r="A17" s="15" t="s">
        <v>21</v>
      </c>
      <c r="B17" s="15" t="s">
        <v>11</v>
      </c>
      <c r="C17" s="15">
        <v>1.5</v>
      </c>
      <c r="D17" s="15">
        <v>0</v>
      </c>
      <c r="E17" s="15">
        <v>1.02</v>
      </c>
      <c r="F17" s="15">
        <v>12.3</v>
      </c>
      <c r="G17" s="15">
        <v>100</v>
      </c>
      <c r="H17" s="15">
        <v>0</v>
      </c>
      <c r="I17" s="15" t="s">
        <v>12</v>
      </c>
      <c r="J17" s="5" t="s">
        <v>22</v>
      </c>
    </row>
    <row r="18" spans="1:10">
      <c r="A18" s="15" t="s">
        <v>21</v>
      </c>
      <c r="B18" s="15" t="s">
        <v>11</v>
      </c>
      <c r="C18" s="15">
        <v>1.5</v>
      </c>
      <c r="D18" s="15">
        <v>6</v>
      </c>
      <c r="E18" s="15">
        <v>4.13</v>
      </c>
      <c r="F18" s="15">
        <v>41</v>
      </c>
      <c r="G18" s="15">
        <v>85</v>
      </c>
      <c r="H18" s="15">
        <v>0</v>
      </c>
      <c r="I18" s="15" t="s">
        <v>12</v>
      </c>
      <c r="J18" s="5" t="s">
        <v>14</v>
      </c>
    </row>
    <row r="19" spans="1:10">
      <c r="A19" s="15" t="s">
        <v>21</v>
      </c>
      <c r="B19" s="15" t="s">
        <v>11</v>
      </c>
      <c r="C19" s="15">
        <v>1.5</v>
      </c>
      <c r="D19" s="15">
        <v>12</v>
      </c>
      <c r="E19" s="15">
        <v>14</v>
      </c>
      <c r="F19" s="15">
        <v>57.7</v>
      </c>
      <c r="G19" s="15">
        <v>77.3</v>
      </c>
      <c r="H19" s="15">
        <v>5</v>
      </c>
      <c r="I19" s="15" t="s">
        <v>12</v>
      </c>
      <c r="J19" s="5" t="s">
        <v>15</v>
      </c>
    </row>
    <row r="20" spans="1:10">
      <c r="A20" s="15" t="s">
        <v>21</v>
      </c>
      <c r="B20" s="15" t="s">
        <v>11</v>
      </c>
      <c r="C20" s="15">
        <v>1.5</v>
      </c>
      <c r="D20" s="15">
        <v>18</v>
      </c>
      <c r="E20" s="15">
        <v>24</v>
      </c>
      <c r="F20" s="15">
        <v>91.5</v>
      </c>
      <c r="G20" s="15">
        <v>90.5</v>
      </c>
      <c r="H20" s="15">
        <v>5</v>
      </c>
      <c r="I20" s="15" t="s">
        <v>12</v>
      </c>
      <c r="J20" s="5" t="s">
        <v>14</v>
      </c>
    </row>
    <row r="21" spans="1:10">
      <c r="A21" s="15" t="s">
        <v>21</v>
      </c>
      <c r="B21" s="15" t="s">
        <v>11</v>
      </c>
      <c r="C21" s="15">
        <v>1.5</v>
      </c>
      <c r="D21" s="15">
        <v>24</v>
      </c>
      <c r="E21" s="15">
        <v>50</v>
      </c>
      <c r="F21" s="15">
        <v>137.8</v>
      </c>
      <c r="G21" s="15">
        <v>89.2</v>
      </c>
      <c r="H21" s="15">
        <v>8</v>
      </c>
      <c r="I21" s="15" t="s">
        <v>12</v>
      </c>
      <c r="J21" s="5" t="s">
        <v>14</v>
      </c>
    </row>
    <row r="22" spans="1:10">
      <c r="A22" s="15" t="s">
        <v>21</v>
      </c>
      <c r="B22" s="15" t="s">
        <v>11</v>
      </c>
      <c r="C22" s="15">
        <v>1.5</v>
      </c>
      <c r="D22" s="15">
        <v>30</v>
      </c>
      <c r="E22" s="15">
        <v>82</v>
      </c>
      <c r="F22" s="15">
        <v>228.4</v>
      </c>
      <c r="G22" s="15">
        <v>49.2</v>
      </c>
      <c r="H22" s="15">
        <v>8</v>
      </c>
      <c r="I22" s="15" t="s">
        <v>12</v>
      </c>
      <c r="J22" s="5" t="s">
        <v>14</v>
      </c>
    </row>
    <row r="23" spans="1:10">
      <c r="A23" s="15" t="s">
        <v>21</v>
      </c>
      <c r="B23" s="15" t="s">
        <v>11</v>
      </c>
      <c r="C23" s="15">
        <v>1.5</v>
      </c>
      <c r="D23" s="15">
        <v>36</v>
      </c>
      <c r="E23" s="15">
        <v>94</v>
      </c>
      <c r="F23" s="15">
        <v>228.4</v>
      </c>
      <c r="G23" s="15">
        <v>77.3</v>
      </c>
      <c r="H23" s="15">
        <v>8</v>
      </c>
      <c r="I23" s="15" t="s">
        <v>12</v>
      </c>
      <c r="J23" s="5" t="s">
        <v>14</v>
      </c>
    </row>
    <row r="24" spans="1:10">
      <c r="A24" s="15" t="s">
        <v>21</v>
      </c>
      <c r="B24" s="15" t="s">
        <v>11</v>
      </c>
      <c r="C24" s="15">
        <v>1.5</v>
      </c>
      <c r="D24" s="15">
        <v>42</v>
      </c>
      <c r="E24" s="15">
        <v>113</v>
      </c>
      <c r="F24" s="15">
        <v>270.4</v>
      </c>
      <c r="G24" s="15">
        <v>86.7</v>
      </c>
      <c r="H24" s="15">
        <v>10</v>
      </c>
      <c r="I24" s="15" t="s">
        <v>12</v>
      </c>
      <c r="J24" s="5" t="s">
        <v>14</v>
      </c>
    </row>
    <row r="25" spans="1:10">
      <c r="A25" s="15" t="s">
        <v>21</v>
      </c>
      <c r="B25" s="15" t="s">
        <v>11</v>
      </c>
      <c r="C25" s="15">
        <v>1.5</v>
      </c>
      <c r="D25" s="15">
        <v>48</v>
      </c>
      <c r="E25" s="15">
        <v>123</v>
      </c>
      <c r="F25" s="15">
        <v>303</v>
      </c>
      <c r="G25" s="15">
        <v>88.7</v>
      </c>
      <c r="H25" s="15">
        <v>10</v>
      </c>
      <c r="I25" s="15" t="s">
        <v>12</v>
      </c>
      <c r="J25" s="5" t="s">
        <v>14</v>
      </c>
    </row>
    <row r="26" spans="1:10">
      <c r="A26" s="15" t="s">
        <v>21</v>
      </c>
      <c r="B26" s="15" t="s">
        <v>11</v>
      </c>
      <c r="C26" s="15">
        <v>1.5</v>
      </c>
      <c r="D26" s="15">
        <v>54</v>
      </c>
      <c r="E26" s="15">
        <v>112</v>
      </c>
      <c r="F26" s="15">
        <v>309.3</v>
      </c>
      <c r="G26" s="15">
        <v>68.4</v>
      </c>
      <c r="H26" s="15">
        <v>10</v>
      </c>
      <c r="I26" s="15" t="s">
        <v>12</v>
      </c>
      <c r="J26" s="5" t="s">
        <v>23</v>
      </c>
    </row>
    <row r="27" spans="1:10">
      <c r="A27" s="15" t="s">
        <v>21</v>
      </c>
      <c r="B27" s="15" t="s">
        <v>11</v>
      </c>
      <c r="C27" s="15">
        <v>1.5</v>
      </c>
      <c r="D27" s="15">
        <v>60</v>
      </c>
      <c r="E27" s="15">
        <v>125</v>
      </c>
      <c r="F27" s="15">
        <v>307.7</v>
      </c>
      <c r="G27" s="15">
        <v>66.9</v>
      </c>
      <c r="H27" s="15">
        <v>12</v>
      </c>
      <c r="I27" s="15" t="s">
        <v>12</v>
      </c>
      <c r="J27" s="5" t="s">
        <v>24</v>
      </c>
    </row>
    <row r="28" spans="1:10">
      <c r="A28" s="15" t="s">
        <v>21</v>
      </c>
      <c r="B28" s="15" t="s">
        <v>11</v>
      </c>
      <c r="C28" s="15">
        <v>1.5</v>
      </c>
      <c r="D28" s="15">
        <v>66</v>
      </c>
      <c r="E28" s="15">
        <v>115</v>
      </c>
      <c r="F28" s="15">
        <v>307.5</v>
      </c>
      <c r="G28" s="15">
        <v>98.9</v>
      </c>
      <c r="H28" s="15">
        <v>12</v>
      </c>
      <c r="I28" s="15" t="s">
        <v>12</v>
      </c>
      <c r="J28" s="5" t="s">
        <v>14</v>
      </c>
    </row>
    <row r="29" spans="1:10">
      <c r="A29" s="15" t="s">
        <v>21</v>
      </c>
      <c r="B29" s="15" t="s">
        <v>11</v>
      </c>
      <c r="C29" s="15">
        <v>1.5</v>
      </c>
      <c r="D29" s="15">
        <v>72</v>
      </c>
      <c r="E29" s="15">
        <v>116</v>
      </c>
      <c r="F29" s="15">
        <v>309</v>
      </c>
      <c r="G29" s="15">
        <v>68.6</v>
      </c>
      <c r="H29" s="15">
        <v>12</v>
      </c>
      <c r="I29" s="15" t="s">
        <v>12</v>
      </c>
      <c r="J29" s="5" t="s">
        <v>25</v>
      </c>
    </row>
    <row r="30" spans="1:10">
      <c r="A30" s="15" t="s">
        <v>21</v>
      </c>
      <c r="B30" s="15" t="s">
        <v>11</v>
      </c>
      <c r="C30" s="15">
        <v>1.5</v>
      </c>
      <c r="D30" s="15">
        <v>78</v>
      </c>
      <c r="E30" s="15">
        <v>122</v>
      </c>
      <c r="F30" s="15">
        <v>351.3</v>
      </c>
      <c r="G30" s="15">
        <v>20</v>
      </c>
      <c r="H30" s="15">
        <v>15</v>
      </c>
      <c r="I30" s="15" t="s">
        <v>12</v>
      </c>
      <c r="J30" s="5" t="s">
        <v>26</v>
      </c>
    </row>
    <row r="31" spans="1:10">
      <c r="A31" s="15" t="s">
        <v>21</v>
      </c>
      <c r="B31" s="15" t="s">
        <v>11</v>
      </c>
      <c r="C31" s="15">
        <v>1.5</v>
      </c>
      <c r="D31" s="15">
        <v>84</v>
      </c>
      <c r="E31" s="15">
        <v>145</v>
      </c>
      <c r="F31" s="15">
        <v>407.7</v>
      </c>
      <c r="G31" s="15">
        <v>20</v>
      </c>
      <c r="H31" s="15">
        <v>15</v>
      </c>
      <c r="I31" s="15" t="s">
        <v>12</v>
      </c>
      <c r="J31" s="5" t="s">
        <v>27</v>
      </c>
    </row>
    <row r="32" spans="1:10">
      <c r="A32" s="15" t="s">
        <v>21</v>
      </c>
      <c r="B32" s="15" t="s">
        <v>11</v>
      </c>
      <c r="C32" s="15">
        <v>1.5</v>
      </c>
      <c r="D32" s="15">
        <v>90</v>
      </c>
      <c r="E32" s="15">
        <v>168</v>
      </c>
      <c r="F32" s="15">
        <v>471.5</v>
      </c>
      <c r="G32" s="15">
        <v>57.9</v>
      </c>
      <c r="H32" s="15">
        <v>15</v>
      </c>
      <c r="I32" s="15" t="s">
        <v>12</v>
      </c>
      <c r="J32" s="5" t="s">
        <v>14</v>
      </c>
    </row>
    <row r="33" spans="1:10">
      <c r="A33" s="15" t="s">
        <v>21</v>
      </c>
      <c r="B33" s="15" t="s">
        <v>11</v>
      </c>
      <c r="C33" s="15">
        <v>1.5</v>
      </c>
      <c r="D33" s="15">
        <v>96</v>
      </c>
      <c r="E33" s="15">
        <v>195</v>
      </c>
      <c r="F33" s="15">
        <v>571.6</v>
      </c>
      <c r="G33" s="15">
        <v>52.9</v>
      </c>
      <c r="H33" s="15">
        <v>15</v>
      </c>
      <c r="I33" s="15" t="s">
        <v>12</v>
      </c>
      <c r="J33" s="5" t="s">
        <v>28</v>
      </c>
    </row>
    <row r="34" spans="1:10">
      <c r="A34" s="16" t="s">
        <v>29</v>
      </c>
      <c r="B34" s="16" t="s">
        <v>11</v>
      </c>
      <c r="C34" s="16">
        <v>1.5</v>
      </c>
      <c r="D34" s="16">
        <v>0</v>
      </c>
      <c r="E34" s="16">
        <v>1.23</v>
      </c>
      <c r="F34" s="16">
        <v>7.2</v>
      </c>
      <c r="G34" s="16">
        <v>99.7</v>
      </c>
      <c r="H34" s="16">
        <v>0</v>
      </c>
      <c r="I34" s="16" t="s">
        <v>12</v>
      </c>
      <c r="J34" s="7" t="s">
        <v>30</v>
      </c>
    </row>
    <row r="35" spans="1:10">
      <c r="A35" s="16" t="s">
        <v>29</v>
      </c>
      <c r="B35" s="16" t="s">
        <v>11</v>
      </c>
      <c r="C35" s="16">
        <v>1.5</v>
      </c>
      <c r="D35" s="16">
        <v>6</v>
      </c>
      <c r="E35" s="16">
        <v>5.42</v>
      </c>
      <c r="F35" s="16">
        <v>23.6</v>
      </c>
      <c r="G35" s="16">
        <v>90.9</v>
      </c>
      <c r="H35" s="16">
        <v>0</v>
      </c>
      <c r="I35" s="16" t="s">
        <v>12</v>
      </c>
      <c r="J35" s="7" t="s">
        <v>14</v>
      </c>
    </row>
    <row r="36" spans="1:10">
      <c r="A36" s="16" t="s">
        <v>29</v>
      </c>
      <c r="B36" s="16" t="s">
        <v>11</v>
      </c>
      <c r="C36" s="16">
        <v>1.5</v>
      </c>
      <c r="D36" s="16">
        <v>12</v>
      </c>
      <c r="E36" s="16">
        <v>14.9</v>
      </c>
      <c r="F36" s="16">
        <v>50.6</v>
      </c>
      <c r="G36" s="16">
        <v>80.5</v>
      </c>
      <c r="H36" s="16">
        <v>5</v>
      </c>
      <c r="I36" s="16" t="s">
        <v>12</v>
      </c>
      <c r="J36" s="7" t="s">
        <v>15</v>
      </c>
    </row>
    <row r="37" spans="1:10">
      <c r="A37" s="16" t="s">
        <v>29</v>
      </c>
      <c r="B37" s="16" t="s">
        <v>11</v>
      </c>
      <c r="C37" s="16">
        <v>1.5</v>
      </c>
      <c r="D37" s="16">
        <v>18</v>
      </c>
      <c r="E37" s="16">
        <v>24.3</v>
      </c>
      <c r="F37" s="16">
        <v>82.3</v>
      </c>
      <c r="G37" s="16">
        <v>79.6</v>
      </c>
      <c r="H37" s="16">
        <v>5</v>
      </c>
      <c r="I37" s="16" t="s">
        <v>12</v>
      </c>
      <c r="J37" s="7" t="s">
        <v>14</v>
      </c>
    </row>
    <row r="38" spans="1:10">
      <c r="A38" s="16" t="s">
        <v>29</v>
      </c>
      <c r="B38" s="16" t="s">
        <v>11</v>
      </c>
      <c r="C38" s="16">
        <v>1.5</v>
      </c>
      <c r="D38" s="16">
        <v>24</v>
      </c>
      <c r="E38" s="16">
        <v>46.8</v>
      </c>
      <c r="F38" s="16">
        <v>124.6</v>
      </c>
      <c r="G38" s="16">
        <v>75.4</v>
      </c>
      <c r="H38" s="16">
        <v>8</v>
      </c>
      <c r="I38" s="16" t="s">
        <v>12</v>
      </c>
      <c r="J38" s="7" t="s">
        <v>14</v>
      </c>
    </row>
    <row r="39" spans="1:10">
      <c r="A39" s="16" t="s">
        <v>29</v>
      </c>
      <c r="B39" s="16" t="s">
        <v>11</v>
      </c>
      <c r="C39" s="16">
        <v>1.5</v>
      </c>
      <c r="D39" s="16">
        <v>30</v>
      </c>
      <c r="E39" s="16">
        <v>79.2</v>
      </c>
      <c r="F39" s="16">
        <v>178.5</v>
      </c>
      <c r="G39" s="16">
        <v>63.7</v>
      </c>
      <c r="H39" s="16">
        <v>8</v>
      </c>
      <c r="I39" s="16" t="s">
        <v>12</v>
      </c>
      <c r="J39" s="7" t="s">
        <v>14</v>
      </c>
    </row>
    <row r="40" spans="1:10">
      <c r="A40" s="16" t="s">
        <v>29</v>
      </c>
      <c r="B40" s="16" t="s">
        <v>11</v>
      </c>
      <c r="C40" s="16">
        <v>1.5</v>
      </c>
      <c r="D40" s="16">
        <v>36</v>
      </c>
      <c r="E40" s="16">
        <v>98.9</v>
      </c>
      <c r="F40" s="16">
        <v>218.19</v>
      </c>
      <c r="G40" s="16">
        <v>52.5</v>
      </c>
      <c r="H40" s="16">
        <v>8</v>
      </c>
      <c r="I40" s="16" t="s">
        <v>12</v>
      </c>
      <c r="J40" s="7" t="s">
        <v>31</v>
      </c>
    </row>
    <row r="41" spans="1:10">
      <c r="A41" s="16" t="s">
        <v>29</v>
      </c>
      <c r="B41" s="16" t="s">
        <v>11</v>
      </c>
      <c r="C41" s="16">
        <v>1.5</v>
      </c>
      <c r="D41" s="16">
        <v>42</v>
      </c>
      <c r="E41" s="16">
        <v>127.6</v>
      </c>
      <c r="F41" s="16">
        <v>292.3</v>
      </c>
      <c r="G41" s="16">
        <v>49.5</v>
      </c>
      <c r="H41" s="16">
        <v>10</v>
      </c>
      <c r="I41" s="16" t="s">
        <v>12</v>
      </c>
      <c r="J41" s="7" t="s">
        <v>14</v>
      </c>
    </row>
    <row r="42" spans="1:10">
      <c r="A42" s="16" t="s">
        <v>29</v>
      </c>
      <c r="B42" s="16" t="s">
        <v>11</v>
      </c>
      <c r="C42" s="16">
        <v>1.5</v>
      </c>
      <c r="D42" s="16">
        <v>48</v>
      </c>
      <c r="E42" s="16">
        <v>148.1</v>
      </c>
      <c r="F42" s="16">
        <v>350.7</v>
      </c>
      <c r="G42" s="16">
        <v>43.5</v>
      </c>
      <c r="H42" s="16">
        <v>10</v>
      </c>
      <c r="I42" s="16" t="s">
        <v>12</v>
      </c>
      <c r="J42" s="7" t="s">
        <v>14</v>
      </c>
    </row>
    <row r="43" spans="1:10">
      <c r="A43" s="16" t="s">
        <v>29</v>
      </c>
      <c r="B43" s="16" t="s">
        <v>11</v>
      </c>
      <c r="C43" s="16">
        <v>1.5</v>
      </c>
      <c r="D43" s="16">
        <v>54</v>
      </c>
      <c r="E43" s="16">
        <v>163.7</v>
      </c>
      <c r="F43" s="16">
        <v>441.6</v>
      </c>
      <c r="G43" s="16">
        <v>41.4</v>
      </c>
      <c r="H43" s="16">
        <v>10</v>
      </c>
      <c r="I43" s="16" t="s">
        <v>12</v>
      </c>
      <c r="J43" s="7" t="s">
        <v>14</v>
      </c>
    </row>
    <row r="44" spans="1:10">
      <c r="A44" s="16" t="s">
        <v>29</v>
      </c>
      <c r="B44" s="16" t="s">
        <v>11</v>
      </c>
      <c r="C44" s="16">
        <v>1.5</v>
      </c>
      <c r="D44" s="16">
        <v>60</v>
      </c>
      <c r="E44" s="16">
        <v>174.8</v>
      </c>
      <c r="F44" s="16">
        <v>448.6</v>
      </c>
      <c r="G44" s="16">
        <v>39.5</v>
      </c>
      <c r="H44" s="16">
        <v>12</v>
      </c>
      <c r="I44" s="16" t="s">
        <v>12</v>
      </c>
      <c r="J44" s="7" t="s">
        <v>14</v>
      </c>
    </row>
    <row r="45" spans="1:10">
      <c r="A45" s="16" t="s">
        <v>29</v>
      </c>
      <c r="B45" s="16" t="s">
        <v>11</v>
      </c>
      <c r="C45" s="16">
        <v>1.5</v>
      </c>
      <c r="D45" s="16">
        <v>66</v>
      </c>
      <c r="E45" s="16">
        <v>187.3</v>
      </c>
      <c r="F45" s="16">
        <v>587.8</v>
      </c>
      <c r="G45" s="16">
        <v>33.6</v>
      </c>
      <c r="H45" s="16">
        <v>12</v>
      </c>
      <c r="I45" s="16" t="s">
        <v>12</v>
      </c>
      <c r="J45" s="7" t="s">
        <v>14</v>
      </c>
    </row>
    <row r="46" spans="1:10">
      <c r="A46" s="16" t="s">
        <v>29</v>
      </c>
      <c r="B46" s="16" t="s">
        <v>11</v>
      </c>
      <c r="C46" s="16">
        <v>1.5</v>
      </c>
      <c r="D46" s="16">
        <v>72</v>
      </c>
      <c r="E46" s="16">
        <v>195.3</v>
      </c>
      <c r="F46" s="16">
        <v>610.7</v>
      </c>
      <c r="G46" s="16">
        <v>31.3</v>
      </c>
      <c r="H46" s="16">
        <v>12</v>
      </c>
      <c r="I46" s="16" t="s">
        <v>12</v>
      </c>
      <c r="J46" s="7" t="s">
        <v>14</v>
      </c>
    </row>
    <row r="47" spans="1:10">
      <c r="A47" s="16" t="s">
        <v>29</v>
      </c>
      <c r="B47" s="16" t="s">
        <v>11</v>
      </c>
      <c r="C47" s="16">
        <v>1.5</v>
      </c>
      <c r="D47" s="16">
        <v>78</v>
      </c>
      <c r="E47" s="16">
        <v>218.4</v>
      </c>
      <c r="F47" s="16">
        <v>764.9</v>
      </c>
      <c r="G47" s="16">
        <v>33.4</v>
      </c>
      <c r="H47" s="16">
        <v>15</v>
      </c>
      <c r="I47" s="16" t="s">
        <v>12</v>
      </c>
      <c r="J47" s="7" t="s">
        <v>32</v>
      </c>
    </row>
    <row r="48" spans="1:10">
      <c r="A48" s="16" t="s">
        <v>29</v>
      </c>
      <c r="B48" s="16" t="s">
        <v>11</v>
      </c>
      <c r="C48" s="16">
        <v>1.5</v>
      </c>
      <c r="D48" s="16">
        <v>84</v>
      </c>
      <c r="E48" s="16">
        <v>231.6</v>
      </c>
      <c r="F48" s="16">
        <v>785.37</v>
      </c>
      <c r="G48" s="16">
        <v>31.4</v>
      </c>
      <c r="H48" s="16">
        <v>15</v>
      </c>
      <c r="I48" s="16" t="s">
        <v>12</v>
      </c>
      <c r="J48" s="7" t="s">
        <v>33</v>
      </c>
    </row>
    <row r="49" spans="1:10">
      <c r="A49" s="17" t="s">
        <v>34</v>
      </c>
      <c r="B49" s="17" t="s">
        <v>35</v>
      </c>
      <c r="C49" s="17">
        <v>2</v>
      </c>
      <c r="D49" s="17">
        <v>0</v>
      </c>
      <c r="E49" s="17">
        <v>1.3</v>
      </c>
      <c r="F49" s="17">
        <v>104</v>
      </c>
      <c r="G49" s="17">
        <v>100</v>
      </c>
      <c r="H49" s="17" t="s">
        <v>14</v>
      </c>
      <c r="I49" s="17" t="s">
        <v>36</v>
      </c>
      <c r="J49" s="9" t="s">
        <v>37</v>
      </c>
    </row>
    <row r="50" spans="1:10">
      <c r="A50" s="17" t="s">
        <v>34</v>
      </c>
      <c r="B50" s="17" t="s">
        <v>35</v>
      </c>
      <c r="C50" s="17">
        <v>2</v>
      </c>
      <c r="D50" s="17">
        <v>6</v>
      </c>
      <c r="E50" s="17">
        <v>5.5</v>
      </c>
      <c r="F50" s="17">
        <v>138</v>
      </c>
      <c r="G50" s="17">
        <v>85</v>
      </c>
      <c r="H50" s="17" t="s">
        <v>14</v>
      </c>
      <c r="I50" s="17" t="s">
        <v>36</v>
      </c>
      <c r="J50" s="9" t="s">
        <v>14</v>
      </c>
    </row>
    <row r="51" spans="1:10">
      <c r="A51" s="17" t="s">
        <v>34</v>
      </c>
      <c r="B51" s="17" t="s">
        <v>35</v>
      </c>
      <c r="C51" s="17">
        <v>2</v>
      </c>
      <c r="D51" s="17">
        <v>12</v>
      </c>
      <c r="E51" s="17">
        <v>17.8</v>
      </c>
      <c r="F51" s="17">
        <v>162</v>
      </c>
      <c r="G51" s="17">
        <v>77.3</v>
      </c>
      <c r="H51" s="17" t="s">
        <v>14</v>
      </c>
      <c r="I51" s="17" t="s">
        <v>36</v>
      </c>
      <c r="J51" s="9" t="s">
        <v>38</v>
      </c>
    </row>
    <row r="52" spans="1:10">
      <c r="A52" s="17" t="s">
        <v>34</v>
      </c>
      <c r="B52" s="17" t="s">
        <v>35</v>
      </c>
      <c r="C52" s="17">
        <v>2</v>
      </c>
      <c r="D52" s="17">
        <v>18</v>
      </c>
      <c r="E52" s="17">
        <v>27.1</v>
      </c>
      <c r="F52" s="17">
        <v>214</v>
      </c>
      <c r="G52" s="17">
        <v>90.5</v>
      </c>
      <c r="H52" s="17">
        <v>13.5</v>
      </c>
      <c r="I52" s="17" t="s">
        <v>36</v>
      </c>
      <c r="J52" s="9" t="s">
        <v>39</v>
      </c>
    </row>
    <row r="53" spans="1:10">
      <c r="A53" s="17" t="s">
        <v>34</v>
      </c>
      <c r="B53" s="17" t="s">
        <v>35</v>
      </c>
      <c r="C53" s="17">
        <v>2</v>
      </c>
      <c r="D53" s="17">
        <v>24</v>
      </c>
      <c r="E53" s="17">
        <v>48.5</v>
      </c>
      <c r="F53" s="17">
        <v>274</v>
      </c>
      <c r="G53" s="17">
        <v>99.2</v>
      </c>
      <c r="H53" s="17">
        <v>9</v>
      </c>
      <c r="I53" s="17" t="s">
        <v>36</v>
      </c>
      <c r="J53" s="9" t="s">
        <v>40</v>
      </c>
    </row>
    <row r="54" spans="1:10">
      <c r="A54" s="17" t="s">
        <v>34</v>
      </c>
      <c r="B54" s="17" t="s">
        <v>35</v>
      </c>
      <c r="C54" s="17">
        <v>2</v>
      </c>
      <c r="D54" s="17">
        <v>30</v>
      </c>
      <c r="E54" s="17">
        <v>77.6</v>
      </c>
      <c r="F54" s="17">
        <v>349</v>
      </c>
      <c r="G54" s="17">
        <v>99.2</v>
      </c>
      <c r="H54" s="17">
        <v>9</v>
      </c>
      <c r="I54" s="17" t="s">
        <v>36</v>
      </c>
      <c r="J54" s="9" t="s">
        <v>14</v>
      </c>
    </row>
    <row r="55" spans="1:10">
      <c r="A55" s="17" t="s">
        <v>34</v>
      </c>
      <c r="B55" s="17" t="s">
        <v>35</v>
      </c>
      <c r="C55" s="17">
        <v>2</v>
      </c>
      <c r="D55" s="17">
        <v>36</v>
      </c>
      <c r="E55" s="17">
        <v>151</v>
      </c>
      <c r="F55" s="17">
        <v>517</v>
      </c>
      <c r="G55" s="17">
        <v>77.3</v>
      </c>
      <c r="H55" s="17">
        <v>13.5</v>
      </c>
      <c r="I55" s="17" t="s">
        <v>36</v>
      </c>
      <c r="J55" s="9" t="s">
        <v>41</v>
      </c>
    </row>
    <row r="56" spans="1:10">
      <c r="A56" s="17" t="s">
        <v>34</v>
      </c>
      <c r="B56" s="17" t="s">
        <v>35</v>
      </c>
      <c r="C56" s="17">
        <v>2</v>
      </c>
      <c r="D56" s="17">
        <v>42</v>
      </c>
      <c r="E56" s="17">
        <v>195</v>
      </c>
      <c r="F56" s="17">
        <v>653</v>
      </c>
      <c r="G56" s="17">
        <v>86.7</v>
      </c>
      <c r="H56" s="17">
        <v>13.5</v>
      </c>
      <c r="I56" s="17" t="s">
        <v>36</v>
      </c>
      <c r="J56" s="9" t="s">
        <v>14</v>
      </c>
    </row>
    <row r="57" spans="1:10">
      <c r="A57" s="17" t="s">
        <v>34</v>
      </c>
      <c r="B57" s="17" t="s">
        <v>35</v>
      </c>
      <c r="C57" s="17">
        <v>2</v>
      </c>
      <c r="D57" s="17">
        <v>48</v>
      </c>
      <c r="E57" s="17">
        <v>230</v>
      </c>
      <c r="F57" s="17">
        <v>796</v>
      </c>
      <c r="G57" s="17">
        <v>88.7</v>
      </c>
      <c r="H57" s="17">
        <v>5.5</v>
      </c>
      <c r="I57" s="17" t="s">
        <v>36</v>
      </c>
      <c r="J57" s="9" t="s">
        <v>42</v>
      </c>
    </row>
    <row r="58" ht="25.5" spans="1:10">
      <c r="A58" s="17" t="s">
        <v>34</v>
      </c>
      <c r="B58" s="17" t="s">
        <v>35</v>
      </c>
      <c r="C58" s="17">
        <v>2</v>
      </c>
      <c r="D58" s="17">
        <v>54</v>
      </c>
      <c r="E58" s="17">
        <v>257</v>
      </c>
      <c r="F58" s="17">
        <v>909</v>
      </c>
      <c r="G58" s="17">
        <v>68.4</v>
      </c>
      <c r="H58" s="17">
        <v>5.5</v>
      </c>
      <c r="I58" s="17" t="s">
        <v>36</v>
      </c>
      <c r="J58" s="9" t="s">
        <v>43</v>
      </c>
    </row>
    <row r="59" spans="1:10">
      <c r="A59" s="17" t="s">
        <v>34</v>
      </c>
      <c r="B59" s="17" t="s">
        <v>35</v>
      </c>
      <c r="C59" s="17">
        <v>2</v>
      </c>
      <c r="D59" s="17">
        <v>60</v>
      </c>
      <c r="E59" s="17">
        <v>308</v>
      </c>
      <c r="F59" s="17">
        <v>1072</v>
      </c>
      <c r="G59" s="17">
        <v>66.9</v>
      </c>
      <c r="H59" s="17">
        <v>10.5</v>
      </c>
      <c r="I59" s="17" t="s">
        <v>36</v>
      </c>
      <c r="J59" s="9" t="s">
        <v>44</v>
      </c>
    </row>
    <row r="60" spans="1:10">
      <c r="A60" s="17" t="s">
        <v>34</v>
      </c>
      <c r="B60" s="17" t="s">
        <v>35</v>
      </c>
      <c r="C60" s="17">
        <v>2</v>
      </c>
      <c r="D60" s="17">
        <v>66</v>
      </c>
      <c r="E60" s="17">
        <v>318</v>
      </c>
      <c r="F60" s="17">
        <v>1115</v>
      </c>
      <c r="G60" s="17">
        <v>98.9</v>
      </c>
      <c r="H60" s="17">
        <v>10.5</v>
      </c>
      <c r="I60" s="17" t="s">
        <v>36</v>
      </c>
      <c r="J60" s="9" t="s">
        <v>14</v>
      </c>
    </row>
    <row r="61" spans="1:10">
      <c r="A61" s="17" t="s">
        <v>34</v>
      </c>
      <c r="B61" s="17" t="s">
        <v>35</v>
      </c>
      <c r="C61" s="17">
        <v>2</v>
      </c>
      <c r="D61" s="17">
        <v>72</v>
      </c>
      <c r="E61" s="17">
        <v>308</v>
      </c>
      <c r="F61" s="17">
        <v>1123</v>
      </c>
      <c r="G61" s="17">
        <v>68.6</v>
      </c>
      <c r="H61" s="17">
        <v>10.5</v>
      </c>
      <c r="I61" s="17" t="s">
        <v>36</v>
      </c>
      <c r="J61" s="9" t="s">
        <v>45</v>
      </c>
    </row>
    <row r="62" spans="1:10">
      <c r="A62" s="17" t="s">
        <v>34</v>
      </c>
      <c r="B62" s="17" t="s">
        <v>35</v>
      </c>
      <c r="C62" s="17">
        <v>2</v>
      </c>
      <c r="D62" s="17">
        <v>74</v>
      </c>
      <c r="E62" s="17">
        <v>310</v>
      </c>
      <c r="F62" s="17">
        <v>1149</v>
      </c>
      <c r="G62" s="17">
        <v>64.7</v>
      </c>
      <c r="H62" s="17">
        <v>5</v>
      </c>
      <c r="I62" s="17" t="s">
        <v>36</v>
      </c>
      <c r="J62" s="9" t="s">
        <v>46</v>
      </c>
    </row>
    <row r="63" spans="1:10">
      <c r="A63" s="18" t="s">
        <v>47</v>
      </c>
      <c r="B63" s="18" t="s">
        <v>35</v>
      </c>
      <c r="C63" s="18">
        <v>1</v>
      </c>
      <c r="D63" s="18">
        <v>0</v>
      </c>
      <c r="E63" s="18">
        <v>1.1</v>
      </c>
      <c r="F63" s="18">
        <v>49</v>
      </c>
      <c r="G63" s="18">
        <v>95.1</v>
      </c>
      <c r="H63" s="18" t="s">
        <v>14</v>
      </c>
      <c r="I63" s="18" t="s">
        <v>36</v>
      </c>
      <c r="J63" s="11" t="s">
        <v>48</v>
      </c>
    </row>
    <row r="64" spans="1:10">
      <c r="A64" s="18" t="s">
        <v>47</v>
      </c>
      <c r="B64" s="18" t="s">
        <v>35</v>
      </c>
      <c r="C64" s="18">
        <v>1</v>
      </c>
      <c r="D64" s="18">
        <v>6</v>
      </c>
      <c r="E64" s="18">
        <v>3.6</v>
      </c>
      <c r="F64" s="18">
        <v>51</v>
      </c>
      <c r="G64" s="18">
        <v>85</v>
      </c>
      <c r="H64" s="18" t="s">
        <v>14</v>
      </c>
      <c r="I64" s="18" t="s">
        <v>36</v>
      </c>
      <c r="J64" s="11" t="s">
        <v>14</v>
      </c>
    </row>
    <row r="65" spans="1:10">
      <c r="A65" s="18" t="s">
        <v>47</v>
      </c>
      <c r="B65" s="18" t="s">
        <v>35</v>
      </c>
      <c r="C65" s="18">
        <v>1</v>
      </c>
      <c r="D65" s="18">
        <v>12</v>
      </c>
      <c r="E65" s="18">
        <v>19.2</v>
      </c>
      <c r="F65" s="18">
        <v>81</v>
      </c>
      <c r="G65" s="18">
        <v>70.5</v>
      </c>
      <c r="H65" s="18" t="s">
        <v>14</v>
      </c>
      <c r="I65" s="18" t="s">
        <v>36</v>
      </c>
      <c r="J65" s="11" t="s">
        <v>14</v>
      </c>
    </row>
    <row r="66" spans="1:10">
      <c r="A66" s="18" t="s">
        <v>47</v>
      </c>
      <c r="B66" s="18" t="s">
        <v>35</v>
      </c>
      <c r="C66" s="18">
        <v>1</v>
      </c>
      <c r="D66" s="18">
        <v>18</v>
      </c>
      <c r="E66" s="18">
        <v>30.2</v>
      </c>
      <c r="F66" s="18">
        <v>83</v>
      </c>
      <c r="G66" s="18">
        <v>69.8</v>
      </c>
      <c r="H66" s="18">
        <v>4.5</v>
      </c>
      <c r="I66" s="18" t="s">
        <v>36</v>
      </c>
      <c r="J66" s="11" t="s">
        <v>49</v>
      </c>
    </row>
    <row r="67" spans="1:10">
      <c r="A67" s="18" t="s">
        <v>47</v>
      </c>
      <c r="B67" s="18" t="s">
        <v>35</v>
      </c>
      <c r="C67" s="18">
        <v>1</v>
      </c>
      <c r="D67" s="18">
        <v>24</v>
      </c>
      <c r="E67" s="18">
        <v>51.3</v>
      </c>
      <c r="F67" s="18">
        <v>309</v>
      </c>
      <c r="G67" s="18">
        <v>68.1</v>
      </c>
      <c r="H67" s="18">
        <v>9</v>
      </c>
      <c r="I67" s="18" t="s">
        <v>36</v>
      </c>
      <c r="J67" s="11" t="s">
        <v>50</v>
      </c>
    </row>
    <row r="68" spans="1:10">
      <c r="A68" s="18" t="s">
        <v>47</v>
      </c>
      <c r="B68" s="18" t="s">
        <v>35</v>
      </c>
      <c r="C68" s="18">
        <v>1</v>
      </c>
      <c r="D68" s="18">
        <v>30</v>
      </c>
      <c r="E68" s="18">
        <v>73</v>
      </c>
      <c r="F68" s="18">
        <v>338</v>
      </c>
      <c r="G68" s="18">
        <v>36.6</v>
      </c>
      <c r="H68" s="18">
        <v>9</v>
      </c>
      <c r="I68" s="18" t="s">
        <v>36</v>
      </c>
      <c r="J68" s="11" t="s">
        <v>14</v>
      </c>
    </row>
    <row r="69" spans="1:10">
      <c r="A69" s="18" t="s">
        <v>47</v>
      </c>
      <c r="B69" s="18" t="s">
        <v>35</v>
      </c>
      <c r="C69" s="18">
        <v>1</v>
      </c>
      <c r="D69" s="18">
        <v>36</v>
      </c>
      <c r="E69" s="18">
        <v>120</v>
      </c>
      <c r="F69" s="18">
        <v>406</v>
      </c>
      <c r="G69" s="18">
        <v>48.9</v>
      </c>
      <c r="H69" s="18">
        <v>13.5</v>
      </c>
      <c r="I69" s="18" t="s">
        <v>36</v>
      </c>
      <c r="J69" s="11" t="s">
        <v>51</v>
      </c>
    </row>
    <row r="70" spans="1:10">
      <c r="A70" s="18" t="s">
        <v>47</v>
      </c>
      <c r="B70" s="18" t="s">
        <v>35</v>
      </c>
      <c r="C70" s="18">
        <v>1</v>
      </c>
      <c r="D70" s="18">
        <v>42</v>
      </c>
      <c r="E70" s="18">
        <v>140</v>
      </c>
      <c r="F70" s="18">
        <v>505</v>
      </c>
      <c r="G70" s="18">
        <v>35.7</v>
      </c>
      <c r="H70" s="18">
        <v>18</v>
      </c>
      <c r="I70" s="18" t="s">
        <v>36</v>
      </c>
      <c r="J70" s="11" t="s">
        <v>52</v>
      </c>
    </row>
    <row r="71" spans="1:10">
      <c r="A71" s="18" t="s">
        <v>47</v>
      </c>
      <c r="B71" s="18" t="s">
        <v>35</v>
      </c>
      <c r="C71" s="18">
        <v>1</v>
      </c>
      <c r="D71" s="18">
        <v>48</v>
      </c>
      <c r="E71" s="18">
        <v>180</v>
      </c>
      <c r="F71" s="18">
        <v>635</v>
      </c>
      <c r="G71" s="18">
        <v>38.9</v>
      </c>
      <c r="H71" s="18">
        <v>18</v>
      </c>
      <c r="I71" s="18" t="s">
        <v>36</v>
      </c>
      <c r="J71" s="11" t="s">
        <v>14</v>
      </c>
    </row>
    <row r="72" spans="1:10">
      <c r="A72" s="18" t="s">
        <v>47</v>
      </c>
      <c r="B72" s="18" t="s">
        <v>35</v>
      </c>
      <c r="C72" s="18">
        <v>1</v>
      </c>
      <c r="D72" s="18">
        <v>54</v>
      </c>
      <c r="E72" s="18">
        <v>220</v>
      </c>
      <c r="F72" s="18">
        <v>788</v>
      </c>
      <c r="G72" s="18">
        <v>35.6</v>
      </c>
      <c r="H72" s="18">
        <v>18</v>
      </c>
      <c r="I72" s="18" t="s">
        <v>36</v>
      </c>
      <c r="J72" s="11" t="s">
        <v>14</v>
      </c>
    </row>
    <row r="73" spans="1:10">
      <c r="A73" s="18" t="s">
        <v>47</v>
      </c>
      <c r="B73" s="18" t="s">
        <v>35</v>
      </c>
      <c r="C73" s="18">
        <v>1</v>
      </c>
      <c r="D73" s="18">
        <v>60</v>
      </c>
      <c r="E73" s="18">
        <v>250</v>
      </c>
      <c r="F73" s="18">
        <v>902</v>
      </c>
      <c r="G73" s="18">
        <v>30.8</v>
      </c>
      <c r="H73" s="18">
        <v>18</v>
      </c>
      <c r="I73" s="18" t="s">
        <v>36</v>
      </c>
      <c r="J73" s="11" t="s">
        <v>14</v>
      </c>
    </row>
    <row r="74" spans="1:10">
      <c r="A74" s="18" t="s">
        <v>47</v>
      </c>
      <c r="B74" s="18" t="s">
        <v>35</v>
      </c>
      <c r="C74" s="18">
        <v>1</v>
      </c>
      <c r="D74" s="18">
        <v>66</v>
      </c>
      <c r="E74" s="18">
        <v>260</v>
      </c>
      <c r="F74" s="18">
        <v>911</v>
      </c>
      <c r="G74" s="18">
        <v>39.9</v>
      </c>
      <c r="H74" s="18">
        <v>18</v>
      </c>
      <c r="I74" s="18" t="s">
        <v>36</v>
      </c>
      <c r="J74" s="11" t="s">
        <v>14</v>
      </c>
    </row>
    <row r="75" spans="1:10">
      <c r="A75" s="18" t="s">
        <v>47</v>
      </c>
      <c r="B75" s="18" t="s">
        <v>35</v>
      </c>
      <c r="C75" s="18">
        <v>1</v>
      </c>
      <c r="D75" s="18">
        <v>72</v>
      </c>
      <c r="E75" s="18">
        <v>280</v>
      </c>
      <c r="F75" s="18">
        <v>943</v>
      </c>
      <c r="G75" s="18">
        <v>31.8</v>
      </c>
      <c r="H75" s="18">
        <v>18</v>
      </c>
      <c r="I75" s="18" t="s">
        <v>36</v>
      </c>
      <c r="J75" s="11" t="s">
        <v>14</v>
      </c>
    </row>
    <row r="76" spans="1:10">
      <c r="A76" s="18" t="s">
        <v>47</v>
      </c>
      <c r="B76" s="18" t="s">
        <v>35</v>
      </c>
      <c r="C76" s="18">
        <v>1</v>
      </c>
      <c r="D76" s="18">
        <v>78</v>
      </c>
      <c r="E76" s="18">
        <v>240</v>
      </c>
      <c r="F76" s="18">
        <v>874</v>
      </c>
      <c r="G76" s="18">
        <v>39.6</v>
      </c>
      <c r="H76" s="18">
        <v>22.5</v>
      </c>
      <c r="I76" s="18" t="s">
        <v>36</v>
      </c>
      <c r="J76" s="11" t="s">
        <v>53</v>
      </c>
    </row>
    <row r="77" spans="1:10">
      <c r="A77" s="18" t="s">
        <v>47</v>
      </c>
      <c r="B77" s="18" t="s">
        <v>35</v>
      </c>
      <c r="C77" s="18">
        <v>1</v>
      </c>
      <c r="D77" s="18">
        <v>84</v>
      </c>
      <c r="E77" s="18">
        <v>246</v>
      </c>
      <c r="F77" s="18">
        <v>897</v>
      </c>
      <c r="G77" s="18">
        <v>29.4</v>
      </c>
      <c r="H77" s="18">
        <v>27</v>
      </c>
      <c r="I77" s="18" t="s">
        <v>36</v>
      </c>
      <c r="J77" s="11" t="s">
        <v>54</v>
      </c>
    </row>
    <row r="78" spans="1:10">
      <c r="A78" s="18" t="s">
        <v>47</v>
      </c>
      <c r="B78" s="18" t="s">
        <v>35</v>
      </c>
      <c r="C78" s="18">
        <v>1</v>
      </c>
      <c r="D78" s="18">
        <v>90</v>
      </c>
      <c r="E78" s="18">
        <v>265</v>
      </c>
      <c r="F78" s="18">
        <v>921</v>
      </c>
      <c r="G78" s="18">
        <v>30.8</v>
      </c>
      <c r="H78" s="18">
        <v>31.5</v>
      </c>
      <c r="I78" s="18" t="s">
        <v>36</v>
      </c>
      <c r="J78" s="11" t="s">
        <v>14</v>
      </c>
    </row>
    <row r="79" spans="1:10">
      <c r="A79" s="18" t="s">
        <v>47</v>
      </c>
      <c r="B79" s="18" t="s">
        <v>35</v>
      </c>
      <c r="C79" s="18">
        <v>1</v>
      </c>
      <c r="D79" s="18">
        <v>96</v>
      </c>
      <c r="E79" s="18">
        <v>293</v>
      </c>
      <c r="F79" s="18">
        <v>1011</v>
      </c>
      <c r="G79" s="18">
        <v>27.9</v>
      </c>
      <c r="H79" s="18">
        <v>36</v>
      </c>
      <c r="I79" s="18" t="s">
        <v>36</v>
      </c>
      <c r="J79" s="11" t="s">
        <v>55</v>
      </c>
    </row>
    <row r="80" spans="1:10">
      <c r="A80" s="18" t="s">
        <v>47</v>
      </c>
      <c r="B80" s="18" t="s">
        <v>35</v>
      </c>
      <c r="C80" s="18">
        <v>1</v>
      </c>
      <c r="D80" s="18">
        <v>102</v>
      </c>
      <c r="E80" s="18">
        <v>296</v>
      </c>
      <c r="F80" s="18">
        <v>1020</v>
      </c>
      <c r="G80" s="18">
        <v>26.3</v>
      </c>
      <c r="H80" s="18">
        <v>40.5</v>
      </c>
      <c r="I80" s="18" t="s">
        <v>36</v>
      </c>
      <c r="J80" s="11" t="s">
        <v>14</v>
      </c>
    </row>
    <row r="81" spans="1:10">
      <c r="A81" s="18" t="s">
        <v>47</v>
      </c>
      <c r="B81" s="18" t="s">
        <v>35</v>
      </c>
      <c r="C81" s="18">
        <v>1</v>
      </c>
      <c r="D81" s="18">
        <v>108</v>
      </c>
      <c r="E81" s="18">
        <v>304</v>
      </c>
      <c r="F81" s="18">
        <v>1082</v>
      </c>
      <c r="G81" s="18">
        <v>25.5</v>
      </c>
      <c r="H81" s="18">
        <v>40.5</v>
      </c>
      <c r="I81" s="18" t="s">
        <v>36</v>
      </c>
      <c r="J81" s="11" t="s">
        <v>56</v>
      </c>
    </row>
    <row r="82" spans="1:10">
      <c r="A82" s="18" t="s">
        <v>47</v>
      </c>
      <c r="B82" s="18" t="s">
        <v>35</v>
      </c>
      <c r="C82" s="18">
        <v>1</v>
      </c>
      <c r="D82" s="18">
        <v>114</v>
      </c>
      <c r="E82" s="18">
        <v>302</v>
      </c>
      <c r="F82" s="18">
        <v>1067</v>
      </c>
      <c r="G82" s="18">
        <v>26.8</v>
      </c>
      <c r="H82" s="18">
        <v>40.5</v>
      </c>
      <c r="I82" s="18" t="s">
        <v>36</v>
      </c>
      <c r="J82" s="11" t="s">
        <v>57</v>
      </c>
    </row>
    <row r="83" spans="1:10">
      <c r="A83" s="18" t="s">
        <v>47</v>
      </c>
      <c r="B83" s="18" t="s">
        <v>35</v>
      </c>
      <c r="C83" s="18">
        <v>1</v>
      </c>
      <c r="D83" s="18">
        <v>120</v>
      </c>
      <c r="E83" s="18">
        <v>296</v>
      </c>
      <c r="F83" s="18">
        <v>1021</v>
      </c>
      <c r="G83" s="18">
        <v>95.1</v>
      </c>
      <c r="H83" s="18">
        <v>40.5</v>
      </c>
      <c r="I83" s="18" t="s">
        <v>36</v>
      </c>
      <c r="J83" s="11" t="s">
        <v>58</v>
      </c>
    </row>
    <row r="84" spans="1:10">
      <c r="A84" s="19" t="s">
        <v>59</v>
      </c>
      <c r="B84" s="19" t="s">
        <v>35</v>
      </c>
      <c r="C84" s="19">
        <v>1</v>
      </c>
      <c r="D84" s="19">
        <v>0</v>
      </c>
      <c r="E84" s="19">
        <v>1.96</v>
      </c>
      <c r="F84" s="19">
        <v>17.9</v>
      </c>
      <c r="G84" s="19" t="s">
        <v>14</v>
      </c>
      <c r="H84" s="19" t="s">
        <v>14</v>
      </c>
      <c r="I84" s="19" t="s">
        <v>36</v>
      </c>
      <c r="J84" s="13" t="s">
        <v>60</v>
      </c>
    </row>
    <row r="85" spans="1:10">
      <c r="A85" s="19" t="s">
        <v>59</v>
      </c>
      <c r="B85" s="19" t="s">
        <v>35</v>
      </c>
      <c r="C85" s="19">
        <v>1</v>
      </c>
      <c r="D85" s="19">
        <v>6</v>
      </c>
      <c r="E85" s="19">
        <v>5.16</v>
      </c>
      <c r="F85" s="19">
        <v>35.7</v>
      </c>
      <c r="G85" s="19" t="s">
        <v>14</v>
      </c>
      <c r="H85" s="19" t="s">
        <v>14</v>
      </c>
      <c r="I85" s="19" t="s">
        <v>36</v>
      </c>
      <c r="J85" s="13" t="s">
        <v>14</v>
      </c>
    </row>
    <row r="86" spans="1:10">
      <c r="A86" s="19" t="s">
        <v>59</v>
      </c>
      <c r="B86" s="19" t="s">
        <v>35</v>
      </c>
      <c r="C86" s="19">
        <v>1</v>
      </c>
      <c r="D86" s="19">
        <v>12</v>
      </c>
      <c r="E86" s="19">
        <v>17.6</v>
      </c>
      <c r="F86" s="19">
        <v>65.9</v>
      </c>
      <c r="G86" s="19" t="s">
        <v>14</v>
      </c>
      <c r="H86" s="19">
        <v>4.5</v>
      </c>
      <c r="I86" s="19" t="s">
        <v>36</v>
      </c>
      <c r="J86" s="13" t="s">
        <v>61</v>
      </c>
    </row>
    <row r="87" spans="1:10">
      <c r="A87" s="19" t="s">
        <v>59</v>
      </c>
      <c r="B87" s="19" t="s">
        <v>35</v>
      </c>
      <c r="C87" s="19">
        <v>1</v>
      </c>
      <c r="D87" s="19">
        <v>18</v>
      </c>
      <c r="E87" s="19">
        <v>30.6</v>
      </c>
      <c r="F87" s="19">
        <v>93.4</v>
      </c>
      <c r="G87" s="19" t="s">
        <v>14</v>
      </c>
      <c r="H87" s="19">
        <v>4.5</v>
      </c>
      <c r="I87" s="19" t="s">
        <v>36</v>
      </c>
      <c r="J87" s="13" t="s">
        <v>14</v>
      </c>
    </row>
    <row r="88" spans="1:10">
      <c r="A88" s="19" t="s">
        <v>59</v>
      </c>
      <c r="B88" s="19" t="s">
        <v>35</v>
      </c>
      <c r="C88" s="19">
        <v>1</v>
      </c>
      <c r="D88" s="19">
        <v>24</v>
      </c>
      <c r="E88" s="19">
        <v>55.7</v>
      </c>
      <c r="F88" s="19">
        <v>184</v>
      </c>
      <c r="G88" s="19" t="s">
        <v>14</v>
      </c>
      <c r="H88" s="19">
        <v>4.5</v>
      </c>
      <c r="I88" s="19" t="s">
        <v>36</v>
      </c>
      <c r="J88" s="13" t="s">
        <v>50</v>
      </c>
    </row>
    <row r="89" spans="1:10">
      <c r="A89" s="19" t="s">
        <v>59</v>
      </c>
      <c r="B89" s="19" t="s">
        <v>35</v>
      </c>
      <c r="C89" s="19">
        <v>1</v>
      </c>
      <c r="D89" s="19">
        <v>30</v>
      </c>
      <c r="E89" s="19">
        <v>60</v>
      </c>
      <c r="F89" s="19">
        <v>220</v>
      </c>
      <c r="G89" s="19" t="s">
        <v>14</v>
      </c>
      <c r="H89" s="19">
        <v>9</v>
      </c>
      <c r="I89" s="19" t="s">
        <v>36</v>
      </c>
      <c r="J89" s="13" t="s">
        <v>14</v>
      </c>
    </row>
    <row r="90" spans="1:10">
      <c r="A90" s="19" t="s">
        <v>59</v>
      </c>
      <c r="B90" s="19" t="s">
        <v>35</v>
      </c>
      <c r="C90" s="19">
        <v>1</v>
      </c>
      <c r="D90" s="19">
        <v>36</v>
      </c>
      <c r="E90" s="19">
        <v>65</v>
      </c>
      <c r="F90" s="19">
        <v>308</v>
      </c>
      <c r="G90" s="19" t="s">
        <v>14</v>
      </c>
      <c r="H90" s="19">
        <v>13.5</v>
      </c>
      <c r="I90" s="19" t="s">
        <v>36</v>
      </c>
      <c r="J90" s="13" t="s">
        <v>62</v>
      </c>
    </row>
    <row r="91" spans="1:10">
      <c r="A91" s="19" t="s">
        <v>59</v>
      </c>
      <c r="B91" s="19" t="s">
        <v>35</v>
      </c>
      <c r="C91" s="19">
        <v>1</v>
      </c>
      <c r="D91" s="19">
        <v>42</v>
      </c>
      <c r="E91" s="19">
        <v>98</v>
      </c>
      <c r="F91" s="19">
        <v>356</v>
      </c>
      <c r="G91" s="19" t="s">
        <v>14</v>
      </c>
      <c r="H91" s="19">
        <v>18</v>
      </c>
      <c r="I91" s="19" t="s">
        <v>36</v>
      </c>
      <c r="J91" s="13" t="s">
        <v>63</v>
      </c>
    </row>
    <row r="92" spans="1:10">
      <c r="A92" s="19" t="s">
        <v>59</v>
      </c>
      <c r="B92" s="19" t="s">
        <v>35</v>
      </c>
      <c r="C92" s="19">
        <v>1</v>
      </c>
      <c r="D92" s="19">
        <v>48</v>
      </c>
      <c r="E92" s="19">
        <v>120</v>
      </c>
      <c r="F92" s="19">
        <v>496</v>
      </c>
      <c r="G92" s="19" t="s">
        <v>14</v>
      </c>
      <c r="H92" s="19">
        <v>18</v>
      </c>
      <c r="I92" s="19" t="s">
        <v>36</v>
      </c>
      <c r="J92" s="13" t="s">
        <v>64</v>
      </c>
    </row>
    <row r="93" spans="1:10">
      <c r="A93" s="19" t="s">
        <v>59</v>
      </c>
      <c r="B93" s="19" t="s">
        <v>35</v>
      </c>
      <c r="C93" s="19">
        <v>1</v>
      </c>
      <c r="D93" s="19">
        <v>54</v>
      </c>
      <c r="E93" s="19">
        <v>140</v>
      </c>
      <c r="F93" s="19">
        <v>511</v>
      </c>
      <c r="G93" s="19" t="s">
        <v>14</v>
      </c>
      <c r="H93" s="19">
        <v>18</v>
      </c>
      <c r="I93" s="19" t="s">
        <v>36</v>
      </c>
      <c r="J93" s="13" t="s">
        <v>14</v>
      </c>
    </row>
    <row r="94" spans="1:10">
      <c r="A94" s="19" t="s">
        <v>59</v>
      </c>
      <c r="B94" s="19" t="s">
        <v>35</v>
      </c>
      <c r="C94" s="19">
        <v>1</v>
      </c>
      <c r="D94" s="19">
        <v>60</v>
      </c>
      <c r="E94" s="19">
        <v>165</v>
      </c>
      <c r="F94" s="19">
        <v>570</v>
      </c>
      <c r="G94" s="19" t="s">
        <v>14</v>
      </c>
      <c r="H94" s="19">
        <v>18</v>
      </c>
      <c r="I94" s="19" t="s">
        <v>36</v>
      </c>
      <c r="J94" s="13" t="s">
        <v>14</v>
      </c>
    </row>
    <row r="95" spans="1:10">
      <c r="A95" s="19" t="s">
        <v>59</v>
      </c>
      <c r="B95" s="19" t="s">
        <v>35</v>
      </c>
      <c r="C95" s="19">
        <v>1</v>
      </c>
      <c r="D95" s="19">
        <v>66</v>
      </c>
      <c r="E95" s="19">
        <v>178</v>
      </c>
      <c r="F95" s="19">
        <v>596</v>
      </c>
      <c r="G95" s="19" t="s">
        <v>14</v>
      </c>
      <c r="H95" s="19">
        <v>18</v>
      </c>
      <c r="I95" s="19" t="s">
        <v>36</v>
      </c>
      <c r="J95" s="13" t="s">
        <v>14</v>
      </c>
    </row>
    <row r="96" spans="1:10">
      <c r="A96" s="19" t="s">
        <v>59</v>
      </c>
      <c r="B96" s="19" t="s">
        <v>35</v>
      </c>
      <c r="C96" s="19">
        <v>1</v>
      </c>
      <c r="D96" s="19">
        <v>72</v>
      </c>
      <c r="E96" s="19">
        <v>209</v>
      </c>
      <c r="F96" s="19">
        <v>700</v>
      </c>
      <c r="G96" s="19" t="s">
        <v>14</v>
      </c>
      <c r="H96" s="19">
        <v>18</v>
      </c>
      <c r="I96" s="19" t="s">
        <v>36</v>
      </c>
      <c r="J96" s="13" t="s">
        <v>65</v>
      </c>
    </row>
    <row r="97" spans="1:10">
      <c r="A97" s="19" t="s">
        <v>59</v>
      </c>
      <c r="B97" s="19" t="s">
        <v>35</v>
      </c>
      <c r="C97" s="19">
        <v>1</v>
      </c>
      <c r="D97" s="19">
        <v>78</v>
      </c>
      <c r="E97" s="19">
        <v>220</v>
      </c>
      <c r="F97" s="19">
        <v>729</v>
      </c>
      <c r="G97" s="19" t="s">
        <v>14</v>
      </c>
      <c r="H97" s="19">
        <v>18</v>
      </c>
      <c r="I97" s="19" t="s">
        <v>36</v>
      </c>
      <c r="J97" s="13" t="s">
        <v>14</v>
      </c>
    </row>
    <row r="98" spans="1:10">
      <c r="A98" s="19" t="s">
        <v>59</v>
      </c>
      <c r="B98" s="19" t="s">
        <v>35</v>
      </c>
      <c r="C98" s="19">
        <v>1</v>
      </c>
      <c r="D98" s="19">
        <v>84</v>
      </c>
      <c r="E98" s="19">
        <v>240</v>
      </c>
      <c r="F98" s="19">
        <v>792</v>
      </c>
      <c r="G98" s="19" t="s">
        <v>14</v>
      </c>
      <c r="H98" s="19">
        <v>22.5</v>
      </c>
      <c r="I98" s="19" t="s">
        <v>36</v>
      </c>
      <c r="J98" s="13" t="s">
        <v>66</v>
      </c>
    </row>
    <row r="99" spans="1:10">
      <c r="A99" s="19" t="s">
        <v>59</v>
      </c>
      <c r="B99" s="19" t="s">
        <v>35</v>
      </c>
      <c r="C99" s="19">
        <v>1</v>
      </c>
      <c r="D99" s="19">
        <v>90</v>
      </c>
      <c r="E99" s="19">
        <v>256</v>
      </c>
      <c r="F99" s="19">
        <v>906</v>
      </c>
      <c r="G99" s="19" t="s">
        <v>14</v>
      </c>
      <c r="H99" s="19">
        <v>27</v>
      </c>
      <c r="I99" s="19" t="s">
        <v>36</v>
      </c>
      <c r="J99" s="13" t="s">
        <v>67</v>
      </c>
    </row>
    <row r="100" spans="1:10">
      <c r="A100" s="19" t="s">
        <v>59</v>
      </c>
      <c r="B100" s="19" t="s">
        <v>35</v>
      </c>
      <c r="C100" s="19">
        <v>1</v>
      </c>
      <c r="D100" s="19">
        <v>96</v>
      </c>
      <c r="E100" s="19">
        <v>264</v>
      </c>
      <c r="F100" s="19">
        <v>937</v>
      </c>
      <c r="G100" s="19" t="s">
        <v>14</v>
      </c>
      <c r="H100" s="19">
        <v>31.5</v>
      </c>
      <c r="I100" s="19" t="s">
        <v>36</v>
      </c>
      <c r="J100" s="13" t="s">
        <v>68</v>
      </c>
    </row>
    <row r="101" spans="1:10">
      <c r="A101" s="19" t="s">
        <v>59</v>
      </c>
      <c r="B101" s="19" t="s">
        <v>35</v>
      </c>
      <c r="C101" s="19">
        <v>1</v>
      </c>
      <c r="D101" s="19">
        <v>102</v>
      </c>
      <c r="E101" s="19">
        <v>276</v>
      </c>
      <c r="F101" s="19">
        <v>963</v>
      </c>
      <c r="G101" s="19" t="s">
        <v>14</v>
      </c>
      <c r="H101" s="19">
        <v>36</v>
      </c>
      <c r="I101" s="19" t="s">
        <v>36</v>
      </c>
      <c r="J101" s="13" t="s">
        <v>14</v>
      </c>
    </row>
    <row r="102" spans="1:10">
      <c r="A102" s="19" t="s">
        <v>59</v>
      </c>
      <c r="B102" s="19" t="s">
        <v>35</v>
      </c>
      <c r="C102" s="19">
        <v>1</v>
      </c>
      <c r="D102" s="19">
        <v>108</v>
      </c>
      <c r="E102" s="19">
        <v>285</v>
      </c>
      <c r="F102" s="19">
        <v>995</v>
      </c>
      <c r="G102" s="19" t="s">
        <v>14</v>
      </c>
      <c r="H102" s="19">
        <v>40.5</v>
      </c>
      <c r="I102" s="19" t="s">
        <v>36</v>
      </c>
      <c r="J102" s="13" t="s">
        <v>14</v>
      </c>
    </row>
    <row r="103" spans="1:10">
      <c r="A103" s="19" t="s">
        <v>59</v>
      </c>
      <c r="B103" s="19" t="s">
        <v>35</v>
      </c>
      <c r="C103" s="19">
        <v>1</v>
      </c>
      <c r="D103" s="19">
        <v>114</v>
      </c>
      <c r="E103" s="19">
        <v>283</v>
      </c>
      <c r="F103" s="19">
        <v>986</v>
      </c>
      <c r="G103" s="19" t="s">
        <v>14</v>
      </c>
      <c r="H103" s="19">
        <v>40.5</v>
      </c>
      <c r="I103" s="19" t="s">
        <v>36</v>
      </c>
      <c r="J103" s="13" t="s">
        <v>69</v>
      </c>
    </row>
    <row r="104" ht="25.5" spans="1:10">
      <c r="A104" s="19" t="s">
        <v>59</v>
      </c>
      <c r="B104" s="19" t="s">
        <v>35</v>
      </c>
      <c r="C104" s="19">
        <v>1</v>
      </c>
      <c r="D104" s="19">
        <v>120</v>
      </c>
      <c r="E104" s="19">
        <v>282</v>
      </c>
      <c r="F104" s="19">
        <v>983</v>
      </c>
      <c r="G104" s="19" t="s">
        <v>14</v>
      </c>
      <c r="H104" s="19">
        <v>40.5</v>
      </c>
      <c r="I104" s="19" t="s">
        <v>36</v>
      </c>
      <c r="J104" s="13" t="s">
        <v>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pane ySplit="1" topLeftCell="A2" activePane="bottomLeft" state="frozen"/>
      <selection/>
      <selection pane="bottomLeft" activeCell="E9" sqref="E9"/>
    </sheetView>
  </sheetViews>
  <sheetFormatPr defaultColWidth="9" defaultRowHeight="15" outlineLevelRow="6"/>
  <cols>
    <col min="1" max="1" width="7" customWidth="1"/>
    <col min="2" max="2" width="20" customWidth="1"/>
    <col min="3" max="3" width="22" customWidth="1"/>
    <col min="4" max="4" width="9" customWidth="1"/>
    <col min="5" max="5" width="12" customWidth="1"/>
    <col min="6" max="6" width="15" customWidth="1"/>
    <col min="7" max="7" width="10" customWidth="1"/>
    <col min="8" max="8" width="12" customWidth="1"/>
    <col min="9" max="10" width="10" customWidth="1"/>
    <col min="11" max="12" width="16" customWidth="1"/>
    <col min="13" max="13" width="45" customWidth="1"/>
    <col min="14" max="14" width="55" customWidth="1"/>
  </cols>
  <sheetData>
    <row r="1" ht="25.5" spans="1:14">
      <c r="A1" s="1" t="s">
        <v>0</v>
      </c>
      <c r="B1" s="1" t="s">
        <v>1</v>
      </c>
      <c r="C1" s="1" t="s">
        <v>71</v>
      </c>
      <c r="D1" s="1" t="s">
        <v>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8</v>
      </c>
      <c r="J1" s="1"/>
      <c r="K1" s="1" t="s">
        <v>76</v>
      </c>
      <c r="L1" s="1"/>
      <c r="M1" s="1" t="s">
        <v>77</v>
      </c>
      <c r="N1" s="1" t="s">
        <v>78</v>
      </c>
    </row>
    <row r="2" spans="1:14">
      <c r="A2" s="2" t="s">
        <v>10</v>
      </c>
      <c r="B2" s="2" t="s">
        <v>11</v>
      </c>
      <c r="C2" s="2" t="s">
        <v>79</v>
      </c>
      <c r="D2" s="2">
        <v>1.5</v>
      </c>
      <c r="E2" s="2">
        <v>82</v>
      </c>
      <c r="F2" s="2">
        <v>96</v>
      </c>
      <c r="G2" s="2">
        <v>201</v>
      </c>
      <c r="H2" s="2">
        <v>585</v>
      </c>
      <c r="I2" s="2" t="s">
        <v>12</v>
      </c>
      <c r="J2" s="2">
        <v>1600</v>
      </c>
      <c r="K2" s="3" t="s">
        <v>80</v>
      </c>
      <c r="L2" s="3">
        <f>1600+780</f>
        <v>2380</v>
      </c>
      <c r="M2" s="3" t="s">
        <v>81</v>
      </c>
      <c r="N2" s="3" t="s">
        <v>82</v>
      </c>
    </row>
    <row r="3" spans="1:14">
      <c r="A3" s="4" t="s">
        <v>21</v>
      </c>
      <c r="B3" s="4" t="s">
        <v>11</v>
      </c>
      <c r="C3" s="4" t="s">
        <v>79</v>
      </c>
      <c r="D3" s="4">
        <v>1.5</v>
      </c>
      <c r="E3" s="4">
        <v>96</v>
      </c>
      <c r="F3" s="4">
        <v>96</v>
      </c>
      <c r="G3" s="4">
        <v>195</v>
      </c>
      <c r="H3" s="4">
        <v>571.6</v>
      </c>
      <c r="I3" s="4" t="s">
        <v>12</v>
      </c>
      <c r="J3" s="4">
        <v>1600</v>
      </c>
      <c r="K3" s="5" t="s">
        <v>83</v>
      </c>
      <c r="L3" s="5">
        <f>1600+900</f>
        <v>2500</v>
      </c>
      <c r="M3" s="5" t="s">
        <v>81</v>
      </c>
      <c r="N3" s="5" t="s">
        <v>84</v>
      </c>
    </row>
    <row r="4" spans="1:14">
      <c r="A4" s="6" t="s">
        <v>29</v>
      </c>
      <c r="B4" s="6" t="s">
        <v>11</v>
      </c>
      <c r="C4" s="6" t="s">
        <v>79</v>
      </c>
      <c r="D4" s="6">
        <v>1.5</v>
      </c>
      <c r="E4" s="6">
        <v>84</v>
      </c>
      <c r="F4" s="6">
        <v>96</v>
      </c>
      <c r="G4" s="6">
        <v>231.6</v>
      </c>
      <c r="H4" s="6">
        <v>785.37</v>
      </c>
      <c r="I4" s="6" t="s">
        <v>12</v>
      </c>
      <c r="J4" s="4">
        <v>1600</v>
      </c>
      <c r="K4" s="7" t="s">
        <v>85</v>
      </c>
      <c r="L4" s="7">
        <f>1600+810</f>
        <v>2410</v>
      </c>
      <c r="M4" s="7" t="s">
        <v>81</v>
      </c>
      <c r="N4" s="7" t="s">
        <v>86</v>
      </c>
    </row>
    <row r="5" spans="1:14">
      <c r="A5" s="8" t="s">
        <v>34</v>
      </c>
      <c r="B5" s="8" t="s">
        <v>87</v>
      </c>
      <c r="C5" s="8" t="s">
        <v>88</v>
      </c>
      <c r="D5" s="8">
        <v>2</v>
      </c>
      <c r="E5" s="8">
        <v>74</v>
      </c>
      <c r="F5" s="8">
        <v>96</v>
      </c>
      <c r="G5" s="8">
        <v>310</v>
      </c>
      <c r="H5" s="8">
        <v>1149</v>
      </c>
      <c r="I5" s="8" t="s">
        <v>36</v>
      </c>
      <c r="J5" s="4">
        <v>1700</v>
      </c>
      <c r="K5" s="9" t="s">
        <v>89</v>
      </c>
      <c r="L5" s="9"/>
      <c r="M5" s="9" t="s">
        <v>90</v>
      </c>
      <c r="N5" s="9" t="s">
        <v>91</v>
      </c>
    </row>
    <row r="6" ht="25.5" spans="1:14">
      <c r="A6" s="10" t="s">
        <v>47</v>
      </c>
      <c r="B6" s="10" t="s">
        <v>87</v>
      </c>
      <c r="C6" s="10" t="s">
        <v>88</v>
      </c>
      <c r="D6" s="10">
        <v>1</v>
      </c>
      <c r="E6" s="10">
        <v>120</v>
      </c>
      <c r="F6" s="10">
        <v>120</v>
      </c>
      <c r="G6" s="10">
        <v>296</v>
      </c>
      <c r="H6" s="10">
        <v>1021</v>
      </c>
      <c r="I6" s="10" t="s">
        <v>36</v>
      </c>
      <c r="J6" s="4">
        <v>1600</v>
      </c>
      <c r="K6" s="11" t="s">
        <v>92</v>
      </c>
      <c r="L6" s="11"/>
      <c r="M6" s="11" t="s">
        <v>93</v>
      </c>
      <c r="N6" s="11" t="s">
        <v>94</v>
      </c>
    </row>
    <row r="7" ht="25.5" spans="1:14">
      <c r="A7" s="12" t="s">
        <v>59</v>
      </c>
      <c r="B7" s="12" t="s">
        <v>87</v>
      </c>
      <c r="C7" s="12" t="s">
        <v>88</v>
      </c>
      <c r="D7" s="12">
        <v>1</v>
      </c>
      <c r="E7" s="12">
        <v>120</v>
      </c>
      <c r="F7" s="12">
        <v>120</v>
      </c>
      <c r="G7" s="12">
        <v>282</v>
      </c>
      <c r="H7" s="12">
        <v>983</v>
      </c>
      <c r="I7" s="12" t="s">
        <v>36</v>
      </c>
      <c r="J7" s="4">
        <v>1600</v>
      </c>
      <c r="K7" s="13" t="s">
        <v>95</v>
      </c>
      <c r="L7" s="13"/>
      <c r="M7" s="13" t="s">
        <v>96</v>
      </c>
      <c r="N7" s="13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Batches</vt:lpstr>
      <vt:lpstr>Batch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shilp</cp:lastModifiedBy>
  <dcterms:created xsi:type="dcterms:W3CDTF">2026-03-18T04:34:00Z</dcterms:created>
  <dcterms:modified xsi:type="dcterms:W3CDTF">2026-03-21T06:51:18Z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B69597D1BCE74C37A1A45205702920B2_12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